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  <sheet xmlns:r="http://schemas.openxmlformats.org/officeDocument/2006/relationships" name="Logistics 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4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0" fontId="3" fillId="3" borderId="1" applyAlignment="1" pivotButton="0" quotePrefix="0" xfId="0">
      <alignment horizontal="left"/>
    </xf>
    <xf numFmtId="164" fontId="3" fillId="3" borderId="1" pivotButton="0" quotePrefix="0" xfId="0"/>
    <xf numFmtId="3" fontId="3" fillId="3" borderId="1" pivotButton="0" quotePrefix="0" xfId="0"/>
    <xf numFmtId="2" fontId="3" fillId="3" borderId="1" pivotButton="0" quotePrefix="0" xfId="0"/>
    <xf numFmtId="165" fontId="3" fillId="3" borderId="1" pivotButton="0" quotePrefix="0" xfId="0"/>
    <xf numFmtId="0" fontId="4" fillId="0" borderId="2" pivotButton="0" quotePrefix="0" xfId="0"/>
    <xf numFmtId="164" fontId="4" fillId="0" borderId="2" pivotButton="0" quotePrefix="0" xfId="0"/>
    <xf numFmtId="3" fontId="4" fillId="0" borderId="2" pivotButton="0" quotePrefix="0" xfId="0"/>
    <xf numFmtId="2" fontId="4" fillId="0" borderId="2" pivotButton="0" quotePrefix="0" xfId="0"/>
    <xf numFmtId="165" fontId="4" fillId="0" borderId="2" pivotButton="0" quotePrefix="0" xfId="0"/>
    <xf numFmtId="0" fontId="3" fillId="0" borderId="1" applyAlignment="1" pivotButton="0" quotePrefix="0" xfId="0">
      <alignment horizontal="center"/>
    </xf>
    <xf numFmtId="166" fontId="3" fillId="0" borderId="1" pivotButton="0" quotePrefix="0" xfId="0"/>
    <xf numFmtId="0" fontId="3" fillId="3" borderId="1" applyAlignment="1" pivotButton="0" quotePrefix="0" xfId="0">
      <alignment horizontal="center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0" customWidth="1" min="4" max="4"/>
    <col width="18" customWidth="1" min="5" max="5"/>
    <col width="18" customWidth="1" min="6" max="6"/>
    <col width="17" customWidth="1" min="7" max="7"/>
  </cols>
  <sheetData>
    <row r="1" ht="30" customHeight="1">
      <c r="A1" s="1" t="inlineStr">
        <is>
          <t>Brazilian E-Commerce - Category Performance Matrix</t>
        </is>
      </c>
    </row>
    <row r="2"/>
    <row r="3" ht="24" customHeight="1">
      <c r="A3" s="2" t="inlineStr">
        <is>
          <t>Product Category</t>
        </is>
      </c>
      <c r="B3" s="3" t="inlineStr">
        <is>
          <t>Total Revenue</t>
        </is>
      </c>
      <c r="C3" s="3" t="inlineStr">
        <is>
          <t>Total Orders</t>
        </is>
      </c>
      <c r="D3" s="3" t="inlineStr">
        <is>
          <t>Avg Review Score</t>
        </is>
      </c>
      <c r="E3" s="3" t="inlineStr">
        <is>
          <t>1-Star Reviews</t>
        </is>
      </c>
      <c r="F3" s="3" t="inlineStr">
        <is>
          <t>5-Star Reviews</t>
        </is>
      </c>
      <c r="G3" s="3" t="inlineStr">
        <is>
          <t>1-Star Rate %</t>
        </is>
      </c>
    </row>
    <row r="4" ht="20" customHeight="1">
      <c r="A4" s="4" t="inlineStr">
        <is>
          <t>relogios_presentes</t>
        </is>
      </c>
      <c r="B4" s="5" t="n">
        <v>210880.14</v>
      </c>
      <c r="C4" s="6" t="n">
        <v>1144</v>
      </c>
      <c r="D4" s="7" t="n">
        <v>4.07</v>
      </c>
      <c r="E4" s="6" t="n">
        <v>103</v>
      </c>
      <c r="F4" s="6" t="n">
        <v>624</v>
      </c>
      <c r="G4" s="8">
        <f>(E4/(C4))</f>
        <v/>
      </c>
    </row>
    <row r="5" ht="20" customHeight="1">
      <c r="A5" s="9" t="inlineStr">
        <is>
          <t>cama_mesa_banho</t>
        </is>
      </c>
      <c r="B5" s="10" t="n">
        <v>171322.72</v>
      </c>
      <c r="C5" s="11" t="n">
        <v>1897</v>
      </c>
      <c r="D5" s="12" t="n">
        <v>3.81</v>
      </c>
      <c r="E5" s="11" t="n">
        <v>298</v>
      </c>
      <c r="F5" s="11" t="n">
        <v>951</v>
      </c>
      <c r="G5" s="13">
        <f>(E5/(C5))</f>
        <v/>
      </c>
    </row>
    <row r="6" ht="20" customHeight="1">
      <c r="A6" s="4" t="inlineStr">
        <is>
          <t>beleza_saude</t>
        </is>
      </c>
      <c r="B6" s="5" t="n">
        <v>164494.91</v>
      </c>
      <c r="C6" s="6" t="n">
        <v>1403</v>
      </c>
      <c r="D6" s="7" t="n">
        <v>4.18</v>
      </c>
      <c r="E6" s="6" t="n">
        <v>142</v>
      </c>
      <c r="F6" s="6" t="n">
        <v>872</v>
      </c>
      <c r="G6" s="8">
        <f>(E6/(C6))</f>
        <v/>
      </c>
    </row>
    <row r="7" ht="20" customHeight="1">
      <c r="A7" s="9" t="inlineStr">
        <is>
          <t>esporte_lazer</t>
        </is>
      </c>
      <c r="B7" s="10" t="n">
        <v>154977.43</v>
      </c>
      <c r="C7" s="11" t="n">
        <v>1349</v>
      </c>
      <c r="D7" s="12" t="n">
        <v>4.02</v>
      </c>
      <c r="E7" s="11" t="n">
        <v>182</v>
      </c>
      <c r="F7" s="11" t="n">
        <v>782</v>
      </c>
      <c r="G7" s="13">
        <f>(E7/(C7))</f>
        <v/>
      </c>
    </row>
    <row r="8">
      <c r="A8" s="14" t="inlineStr">
        <is>
          <t>Total / Average</t>
        </is>
      </c>
      <c r="B8" s="15">
        <f>SUM(B4:B7)</f>
        <v/>
      </c>
      <c r="C8" s="16">
        <f>SUM(C4:C7)</f>
        <v/>
      </c>
      <c r="D8" s="17">
        <f>AVERAGE(D4:D7)</f>
        <v/>
      </c>
      <c r="E8" s="16">
        <f>SUM(E4:E7)</f>
        <v/>
      </c>
      <c r="F8" s="16">
        <f>SUM(F4:F7)</f>
        <v/>
      </c>
      <c r="G8" s="18">
        <f>(E8/C8)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20" customWidth="1" min="4" max="4"/>
    <col width="29" customWidth="1" min="5" max="5"/>
    <col width="19" customWidth="1" min="6" max="6"/>
  </cols>
  <sheetData>
    <row r="1" ht="30" customHeight="1">
      <c r="A1" s="1" t="inlineStr">
        <is>
          <t>Logistics Outlier &amp; Shipping Exception Report</t>
        </is>
      </c>
    </row>
    <row r="2"/>
    <row r="3" ht="24" customHeight="1">
      <c r="A3" s="2" t="inlineStr">
        <is>
          <t>Order ID</t>
        </is>
      </c>
      <c r="B3" s="3" t="inlineStr">
        <is>
          <t>Order Year</t>
        </is>
      </c>
      <c r="C3" s="3" t="inlineStr">
        <is>
          <t>Order Month</t>
        </is>
      </c>
      <c r="D3" s="3" t="inlineStr">
        <is>
          <t>Date Diff (Days)</t>
        </is>
      </c>
      <c r="E3" s="3" t="inlineStr">
        <is>
          <t>Avg Month Baseline (Days)</t>
        </is>
      </c>
      <c r="F3" s="3" t="inlineStr">
        <is>
          <t>Performance Gap</t>
        </is>
      </c>
    </row>
    <row r="4" ht="20" customHeight="1">
      <c r="A4" s="4" t="inlineStr">
        <is>
          <t>e481f51cbdc54678b7cc49136f2d6af7</t>
        </is>
      </c>
      <c r="B4" s="19" t="n">
        <v>2017</v>
      </c>
      <c r="C4" s="19" t="n">
        <v>10</v>
      </c>
      <c r="D4" s="20" t="n">
        <v>4</v>
      </c>
      <c r="E4" s="20" t="n">
        <v>11.4</v>
      </c>
      <c r="F4" s="20">
        <f>D4-E4</f>
        <v/>
      </c>
    </row>
    <row r="5" ht="20" customHeight="1">
      <c r="A5" s="9" t="inlineStr">
        <is>
          <t>7076269de733c394b115196123ecd0af</t>
        </is>
      </c>
      <c r="B5" s="21" t="n">
        <v>2017</v>
      </c>
      <c r="C5" s="21" t="n">
        <v>10</v>
      </c>
      <c r="D5" s="22" t="n">
        <v>-2</v>
      </c>
      <c r="E5" s="22" t="n">
        <v>11.4</v>
      </c>
      <c r="F5" s="22">
        <f>D5-E5</f>
        <v/>
      </c>
    </row>
    <row r="6" ht="20" customHeight="1">
      <c r="A6" s="4" t="inlineStr">
        <is>
          <t>852778210ddc7e47ee02081831852e96</t>
        </is>
      </c>
      <c r="B6" s="19" t="n">
        <v>2017</v>
      </c>
      <c r="C6" s="19" t="n">
        <v>11</v>
      </c>
      <c r="D6" s="20" t="n">
        <v>1</v>
      </c>
      <c r="E6" s="20" t="n">
        <v>10.8</v>
      </c>
      <c r="F6" s="20">
        <f>D6-E6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2026-06-10T21:30:37Z</dcterms:created>
  <dcterms:modified xmlns:dcterms="http://purl.org/dc/terms/" xmlns:xsi="http://www.w3.org/2001/XMLSchema-instance" xsi:type="dcterms:W3CDTF">2026-06-10T21:30:37Z</dcterms:modified>
</cp:coreProperties>
</file>